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fahmy/Library/Mobile Documents/com~apple~CloudDocs/College/Germany/HHN/ProfiPlus/Courses/CRV/Project/"/>
    </mc:Choice>
  </mc:AlternateContent>
  <xr:revisionPtr revIDLastSave="0" documentId="13_ncr:1_{EF17B3F0-E2D6-0B40-A288-742B4EB1D864}" xr6:coauthVersionLast="47" xr6:coauthVersionMax="47" xr10:uidLastSave="{00000000-0000-0000-0000-000000000000}"/>
  <bookViews>
    <workbookView xWindow="0" yWindow="480" windowWidth="25600" windowHeight="15520" xr2:uid="{00000000-000D-0000-FFFF-FFFF00000000}"/>
  </bookViews>
  <sheets>
    <sheet name="Gantt Ch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9" i="3"/>
  <c r="C10" i="3" s="1"/>
  <c r="C8" i="3"/>
  <c r="C5" i="3"/>
  <c r="C6" i="3" s="1"/>
  <c r="C7" i="3" s="1"/>
  <c r="D4" i="3"/>
  <c r="D5" i="3" l="1"/>
  <c r="D6" i="3"/>
  <c r="D8" i="3" l="1"/>
  <c r="D9" i="3" l="1"/>
  <c r="D7" i="3" l="1"/>
  <c r="D10" i="3" l="1"/>
  <c r="D11" i="3"/>
</calcChain>
</file>

<file path=xl/sharedStrings.xml><?xml version="1.0" encoding="utf-8"?>
<sst xmlns="http://schemas.openxmlformats.org/spreadsheetml/2006/main" count="34" uniqueCount="27">
  <si>
    <t>TASK DESCRIPTION</t>
  </si>
  <si>
    <t>%
Complete</t>
  </si>
  <si>
    <t>Start Date</t>
  </si>
  <si>
    <t>End Date</t>
  </si>
  <si>
    <t>Duration
(Weeks)</t>
  </si>
  <si>
    <t>Responsible
Members</t>
  </si>
  <si>
    <t>PROJECT SCHEDULE</t>
  </si>
  <si>
    <t>WK45</t>
  </si>
  <si>
    <t>WK46</t>
  </si>
  <si>
    <t>WK47</t>
  </si>
  <si>
    <t>WK48</t>
  </si>
  <si>
    <t>WK49</t>
  </si>
  <si>
    <t>WK50</t>
  </si>
  <si>
    <t>WK51</t>
  </si>
  <si>
    <t>WK52</t>
  </si>
  <si>
    <t>Project Title: Face Detection</t>
  </si>
  <si>
    <t>Team Members: Omar Fahmy, Mostafa Ahmed</t>
  </si>
  <si>
    <t>Choose Project</t>
  </si>
  <si>
    <t>WK44</t>
  </si>
  <si>
    <t>Kickoff, tool setup, choose detector(s)</t>
  </si>
  <si>
    <t>Illumination and shadow study</t>
  </si>
  <si>
    <t>Occlusion study (mask, glasses, hand)</t>
  </si>
  <si>
    <t>Omar &amp; Mostafa</t>
  </si>
  <si>
    <t>Motion study, add simple tracking if needed</t>
  </si>
  <si>
    <t>Fairness check across skin tones and multiple faces</t>
  </si>
  <si>
    <t>Polish results, finalize slides and demo, rehearse</t>
  </si>
  <si>
    <t>Start writing report draft, start with the presentation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</si>
</sst>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color rgb="FF0B5394"/>
      <name val="Roboto"/>
    </font>
    <font>
      <b/>
      <sz val="10"/>
      <color rgb="FFFFFFFF"/>
      <name val="Calibri"/>
      <family val="2"/>
    </font>
    <font>
      <sz val="11"/>
      <color rgb="FF434343"/>
      <name val="Calibri"/>
      <family val="2"/>
    </font>
    <font>
      <b/>
      <sz val="10"/>
      <color rgb="FFFFFFFF"/>
      <name val="Calibri"/>
      <family val="2"/>
    </font>
    <font>
      <sz val="12"/>
      <color rgb="FF000000"/>
      <name val="Arial"/>
      <family val="2"/>
    </font>
    <font>
      <sz val="12"/>
      <color rgb="FF434343"/>
      <name val="Calibri"/>
      <family val="2"/>
    </font>
    <font>
      <b/>
      <sz val="24"/>
      <name val="Arial"/>
      <family val="2"/>
    </font>
    <font>
      <b/>
      <sz val="11"/>
      <name val="Calibri"/>
      <family val="2"/>
    </font>
    <font>
      <b/>
      <sz val="24"/>
      <name val="Calibri"/>
      <family val="2"/>
    </font>
    <font>
      <b/>
      <sz val="12"/>
      <name val="Roboto"/>
    </font>
    <font>
      <sz val="12"/>
      <name val="Roboto"/>
    </font>
    <font>
      <sz val="8"/>
      <name val="Arial"/>
      <family val="2"/>
    </font>
    <font>
      <sz val="11"/>
      <color rgb="FF43434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ADEE"/>
        <bgColor rgb="FF00ADEE"/>
      </patternFill>
    </fill>
    <fill>
      <patternFill patternType="solid">
        <fgColor theme="8"/>
        <bgColor rgb="FF7FD1CD"/>
      </patternFill>
    </fill>
    <fill>
      <patternFill patternType="solid">
        <fgColor theme="8"/>
        <bgColor rgb="FF57BB8A"/>
      </patternFill>
    </fill>
    <fill>
      <patternFill patternType="solid">
        <fgColor theme="8"/>
        <bgColor rgb="FFBCE4D1"/>
      </patternFill>
    </fill>
    <fill>
      <patternFill patternType="solid">
        <fgColor theme="8"/>
        <bgColor rgb="FF8AD0AE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1" fillId="9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vertical="center" wrapText="1"/>
    </xf>
    <xf numFmtId="0" fontId="1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1"/>
  <sheetViews>
    <sheetView showGridLines="0" tabSelected="1" zoomScale="102" zoomScaleNormal="102" workbookViewId="0">
      <selection activeCell="J6" sqref="J6:N7"/>
    </sheetView>
  </sheetViews>
  <sheetFormatPr baseColWidth="10" defaultColWidth="14.5" defaultRowHeight="15.75" customHeight="1" x14ac:dyDescent="0.15"/>
  <cols>
    <col min="1" max="1" width="2.83203125" style="1" customWidth="1"/>
    <col min="2" max="2" width="50.6640625" style="1" customWidth="1"/>
    <col min="3" max="6" width="10.6640625" style="1" customWidth="1"/>
    <col min="7" max="7" width="9.33203125" style="1" customWidth="1"/>
    <col min="8" max="23" width="10.6640625" style="1" customWidth="1"/>
    <col min="24" max="16384" width="14.5" style="1"/>
  </cols>
  <sheetData>
    <row r="1" spans="1:16" ht="30" customHeight="1" x14ac:dyDescent="0.15">
      <c r="A1" s="15" t="s">
        <v>6</v>
      </c>
      <c r="B1" s="16"/>
      <c r="C1" s="16"/>
      <c r="D1" s="16"/>
      <c r="E1" s="16"/>
      <c r="F1" s="16"/>
      <c r="G1" s="16"/>
      <c r="H1" s="28" t="s">
        <v>15</v>
      </c>
      <c r="I1" s="29"/>
      <c r="J1" s="30"/>
      <c r="K1" s="31" t="s">
        <v>16</v>
      </c>
      <c r="L1" s="29"/>
      <c r="M1" s="29"/>
      <c r="N1" s="32"/>
      <c r="O1" s="32"/>
      <c r="P1" s="33"/>
    </row>
    <row r="2" spans="1:16" ht="15" customHeight="1" x14ac:dyDescent="0.15">
      <c r="A2" s="17"/>
      <c r="B2" s="19" t="s">
        <v>0</v>
      </c>
      <c r="C2" s="23" t="s">
        <v>2</v>
      </c>
      <c r="D2" s="23" t="s">
        <v>3</v>
      </c>
      <c r="E2" s="21" t="s">
        <v>4</v>
      </c>
      <c r="F2" s="21" t="s">
        <v>5</v>
      </c>
      <c r="G2" s="23" t="s">
        <v>1</v>
      </c>
      <c r="H2" s="13" t="s">
        <v>18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</row>
    <row r="3" spans="1:16" ht="15" customHeight="1" x14ac:dyDescent="0.15">
      <c r="A3" s="18"/>
      <c r="B3" s="20"/>
      <c r="C3" s="22"/>
      <c r="D3" s="22"/>
      <c r="E3" s="22"/>
      <c r="F3" s="22"/>
      <c r="G3" s="24"/>
      <c r="H3" s="14"/>
      <c r="I3" s="14"/>
      <c r="J3" s="14"/>
      <c r="K3" s="14"/>
      <c r="L3" s="14"/>
      <c r="M3" s="14"/>
      <c r="N3" s="14"/>
      <c r="O3" s="14"/>
      <c r="P3" s="14"/>
    </row>
    <row r="4" spans="1:16" ht="40" customHeight="1" x14ac:dyDescent="0.15">
      <c r="A4" s="7">
        <v>1</v>
      </c>
      <c r="B4" s="8" t="s">
        <v>17</v>
      </c>
      <c r="C4" s="11">
        <v>45957</v>
      </c>
      <c r="D4" s="11">
        <f>C4+E4*7</f>
        <v>45964</v>
      </c>
      <c r="E4" s="2">
        <v>1</v>
      </c>
      <c r="F4" s="12" t="s">
        <v>22</v>
      </c>
      <c r="G4" s="3">
        <v>1</v>
      </c>
      <c r="H4" s="25"/>
      <c r="I4" s="9"/>
      <c r="J4" s="10"/>
      <c r="K4" s="10"/>
      <c r="L4" s="10"/>
      <c r="M4" s="10"/>
      <c r="N4" s="10"/>
      <c r="O4" s="10"/>
      <c r="P4" s="10"/>
    </row>
    <row r="5" spans="1:16" ht="40" customHeight="1" x14ac:dyDescent="0.15">
      <c r="A5" s="7">
        <v>2</v>
      </c>
      <c r="B5" s="8" t="s">
        <v>19</v>
      </c>
      <c r="C5" s="11">
        <f>C4+7</f>
        <v>45964</v>
      </c>
      <c r="D5" s="11">
        <f t="shared" ref="D5:D11" si="0">C5+E5*7</f>
        <v>45978</v>
      </c>
      <c r="E5" s="2">
        <v>2</v>
      </c>
      <c r="F5" s="12" t="s">
        <v>22</v>
      </c>
      <c r="G5" s="4">
        <v>0.7</v>
      </c>
      <c r="H5" s="9"/>
      <c r="I5" s="25"/>
      <c r="J5" s="26"/>
      <c r="K5" s="10"/>
      <c r="L5" s="10"/>
      <c r="M5" s="10"/>
      <c r="N5" s="10"/>
      <c r="O5" s="10"/>
      <c r="P5" s="10"/>
    </row>
    <row r="6" spans="1:16" ht="40" customHeight="1" x14ac:dyDescent="0.15">
      <c r="A6" s="7">
        <v>3</v>
      </c>
      <c r="B6" s="8" t="s">
        <v>20</v>
      </c>
      <c r="C6" s="11">
        <f t="shared" ref="C6:C11" si="1">C5+7</f>
        <v>45971</v>
      </c>
      <c r="D6" s="11">
        <f t="shared" si="0"/>
        <v>45978</v>
      </c>
      <c r="E6" s="2">
        <v>1</v>
      </c>
      <c r="F6" s="12" t="s">
        <v>22</v>
      </c>
      <c r="G6" s="3"/>
      <c r="H6" s="9"/>
      <c r="I6" s="9"/>
      <c r="J6" s="26"/>
      <c r="K6" s="10"/>
      <c r="L6" s="10"/>
      <c r="M6" s="10"/>
      <c r="N6" s="10"/>
      <c r="O6" s="10"/>
      <c r="P6" s="10"/>
    </row>
    <row r="7" spans="1:16" ht="40" customHeight="1" x14ac:dyDescent="0.15">
      <c r="A7" s="7">
        <v>6</v>
      </c>
      <c r="B7" s="8" t="s">
        <v>24</v>
      </c>
      <c r="C7" s="11">
        <f t="shared" si="1"/>
        <v>45978</v>
      </c>
      <c r="D7" s="11">
        <f>C7+E7*7</f>
        <v>45985</v>
      </c>
      <c r="E7" s="2">
        <v>1</v>
      </c>
      <c r="F7" s="12" t="s">
        <v>22</v>
      </c>
      <c r="G7" s="6"/>
      <c r="H7" s="9"/>
      <c r="I7" s="9"/>
      <c r="J7" s="10"/>
      <c r="K7" s="26"/>
      <c r="L7" s="10"/>
      <c r="M7" s="10"/>
      <c r="N7" s="10"/>
      <c r="O7" s="10"/>
      <c r="P7" s="10"/>
    </row>
    <row r="8" spans="1:16" ht="40" customHeight="1" x14ac:dyDescent="0.15">
      <c r="A8" s="7">
        <v>4</v>
      </c>
      <c r="B8" s="8" t="s">
        <v>21</v>
      </c>
      <c r="C8" s="11">
        <f>C6+7</f>
        <v>45978</v>
      </c>
      <c r="D8" s="11">
        <f t="shared" si="0"/>
        <v>45999</v>
      </c>
      <c r="E8" s="2">
        <v>3</v>
      </c>
      <c r="F8" s="12" t="s">
        <v>22</v>
      </c>
      <c r="G8" s="5"/>
      <c r="H8" s="9"/>
      <c r="I8" s="9"/>
      <c r="J8" s="27"/>
      <c r="K8" s="26"/>
      <c r="L8" s="26"/>
      <c r="M8" s="26"/>
      <c r="N8" s="10"/>
      <c r="O8" s="10"/>
      <c r="P8" s="10"/>
    </row>
    <row r="9" spans="1:16" ht="40" customHeight="1" x14ac:dyDescent="0.15">
      <c r="A9" s="7">
        <v>5</v>
      </c>
      <c r="B9" s="8" t="s">
        <v>23</v>
      </c>
      <c r="C9" s="11">
        <f>C8+14</f>
        <v>45992</v>
      </c>
      <c r="D9" s="11">
        <f t="shared" si="0"/>
        <v>46006</v>
      </c>
      <c r="E9" s="2">
        <v>2</v>
      </c>
      <c r="F9" s="12" t="s">
        <v>22</v>
      </c>
      <c r="G9" s="6"/>
      <c r="H9" s="9"/>
      <c r="I9" s="9"/>
      <c r="J9" s="10"/>
      <c r="K9" s="10"/>
      <c r="L9" s="27"/>
      <c r="M9" s="26"/>
      <c r="N9" s="26"/>
      <c r="O9" s="10"/>
      <c r="P9" s="10"/>
    </row>
    <row r="10" spans="1:16" ht="40" customHeight="1" x14ac:dyDescent="0.15">
      <c r="A10" s="7">
        <v>8</v>
      </c>
      <c r="B10" s="8" t="s">
        <v>25</v>
      </c>
      <c r="C10" s="11">
        <f t="shared" si="1"/>
        <v>45999</v>
      </c>
      <c r="D10" s="11">
        <f>C10+E10*7</f>
        <v>46006</v>
      </c>
      <c r="E10" s="2">
        <v>1</v>
      </c>
      <c r="F10" s="12" t="s">
        <v>22</v>
      </c>
      <c r="G10" s="6"/>
      <c r="H10" s="9"/>
      <c r="I10" s="9"/>
      <c r="J10" s="10"/>
      <c r="K10" s="10"/>
      <c r="L10" s="10"/>
      <c r="M10" s="10"/>
      <c r="N10" s="26"/>
      <c r="O10" s="10"/>
      <c r="P10" s="10"/>
    </row>
    <row r="11" spans="1:16" ht="40" customHeight="1" x14ac:dyDescent="0.15">
      <c r="A11" s="7">
        <v>7</v>
      </c>
      <c r="B11" s="8" t="s">
        <v>26</v>
      </c>
      <c r="C11" s="11">
        <f>C9+7</f>
        <v>45999</v>
      </c>
      <c r="D11" s="11">
        <f t="shared" si="0"/>
        <v>46013</v>
      </c>
      <c r="E11" s="2">
        <v>2</v>
      </c>
      <c r="F11" s="12" t="s">
        <v>22</v>
      </c>
      <c r="G11" s="6"/>
      <c r="H11" s="9"/>
      <c r="I11" s="9"/>
      <c r="J11" s="10"/>
      <c r="K11" s="10"/>
      <c r="L11" s="10"/>
      <c r="M11" s="27"/>
      <c r="N11" s="26"/>
      <c r="O11" s="26"/>
      <c r="P11" s="10"/>
    </row>
  </sheetData>
  <mergeCells count="17">
    <mergeCell ref="N2:N3"/>
    <mergeCell ref="O2:O3"/>
    <mergeCell ref="P2:P3"/>
    <mergeCell ref="C2:C3"/>
    <mergeCell ref="H2:H3"/>
    <mergeCell ref="J2:J3"/>
    <mergeCell ref="K2:K3"/>
    <mergeCell ref="L2:L3"/>
    <mergeCell ref="M2:M3"/>
    <mergeCell ref="I2:I3"/>
    <mergeCell ref="A1:G1"/>
    <mergeCell ref="A2:A3"/>
    <mergeCell ref="B2:B3"/>
    <mergeCell ref="F2:F3"/>
    <mergeCell ref="E2:E3"/>
    <mergeCell ref="D2:D3"/>
    <mergeCell ref="G2:G3"/>
  </mergeCells>
  <phoneticPr fontId="14" type="noConversion"/>
  <conditionalFormatting sqref="G4:G11">
    <cfRule type="colorScale" priority="4">
      <colorScale>
        <cfvo type="percent" val="0"/>
        <cfvo type="percent" val="100"/>
        <color rgb="FFFFFFFF"/>
        <color rgb="FF5CBCD6"/>
      </colorScale>
    </cfRule>
  </conditionalFormatting>
  <printOptions horizontalCentered="1" verticalCentered="1"/>
  <pageMargins left="0.7" right="0.7" top="0.75" bottom="0.75" header="0.3" footer="0.3"/>
  <pageSetup paperSize="9" scale="4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Morton</dc:creator>
  <cp:lastModifiedBy>Omar Tamer Abdelaziz Mohamed Fahmy</cp:lastModifiedBy>
  <cp:lastPrinted>2022-02-17T08:11:28Z</cp:lastPrinted>
  <dcterms:created xsi:type="dcterms:W3CDTF">2018-06-20T16:10:08Z</dcterms:created>
  <dcterms:modified xsi:type="dcterms:W3CDTF">2025-11-07T21:07:24Z</dcterms:modified>
</cp:coreProperties>
</file>